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рафик" sheetId="1" state="visible" r:id="rId1"/>
    <sheet xmlns:r="http://schemas.openxmlformats.org/officeDocument/2006/relationships" name="Выписки" sheetId="2" state="visible" r:id="rId2"/>
    <sheet xmlns:r="http://schemas.openxmlformats.org/officeDocument/2006/relationships" name="Протокол" sheetId="3" state="visible" r:id="rId3"/>
    <sheet xmlns:r="http://schemas.openxmlformats.org/officeDocument/2006/relationships" name="Итоги" sheetId="4" state="visible" r:id="rId4"/>
    <sheet xmlns:r="http://schemas.openxmlformats.org/officeDocument/2006/relationships" name="Пояснения" sheetId="5" state="visible" r:id="rId5"/>
  </sheets>
  <definedNames>
    <definedName name="_xlnm.Print_Area" localSheetId="0">'График'!$A$1:$E$18</definedName>
    <definedName name="_xlnm.Print_Area" localSheetId="1">'Выписки'!$A$1:$E$16</definedName>
    <definedName name="_xlnm.Print_Area" localSheetId="2">'Протокол'!$A$1:$E$16</definedName>
    <definedName name="_xlnm.Print_Area" localSheetId="3">'Итоги'!$A$1:$E$8</definedName>
    <definedName name="_xlnm.Print_Area" localSheetId="4">'Пояснения'!$A$1:$C$18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.MM.YYYY"/>
    <numFmt numFmtId="166" formatCode="DD.MM.YY"/>
    <numFmt numFmtId="167" formatCode="HH:MM"/>
    <numFmt numFmtId="168" formatCode="[H]:MM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sz val="11"/>
    </font>
    <font>
      <name val="Arial"/>
      <b val="1"/>
      <color rgb="00FFFFFF"/>
      <sz val="11"/>
    </font>
    <font>
      <name val="Arial"/>
      <b val="1"/>
      <color rgb="001A56A8"/>
      <sz val="11"/>
    </font>
    <font>
      <name val="Arial"/>
      <color rgb="00008050"/>
      <sz val="11"/>
    </font>
  </fonts>
  <fills count="4">
    <fill>
      <patternFill/>
    </fill>
    <fill>
      <patternFill patternType="gray125"/>
    </fill>
    <fill>
      <patternFill patternType="solid">
        <fgColor rgb="00243B5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9C7D5"/>
      </left>
      <right style="thin">
        <color rgb="00B9C7D5"/>
      </right>
      <top style="thin">
        <color rgb="00B9C7D5"/>
      </top>
      <bottom style="thin">
        <color rgb="00B9C7D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4" fillId="3" borderId="0" pivotButton="0" quotePrefix="0" xfId="0"/>
    <xf numFmtId="165" fontId="4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166" fontId="2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2" fillId="0" borderId="1" applyAlignment="1" pivotButton="0" quotePrefix="0" xfId="0">
      <alignment horizontal="center"/>
    </xf>
    <xf numFmtId="167" fontId="4" fillId="3" borderId="0" pivotButton="0" quotePrefix="0" xfId="0"/>
    <xf numFmtId="167" fontId="2" fillId="0" borderId="1" applyAlignment="1" pivotButton="0" quotePrefix="0" xfId="0">
      <alignment vertical="center" wrapText="1"/>
    </xf>
    <xf numFmtId="168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Данные</author>
  </authors>
  <commentList>
    <comment ref="C1" authorId="0" shapeId="0">
      <text>
        <t>Изменяемое исходное значение. Данные перенесены с рисунков 57–59, приложенных пользователем.</t>
      </text>
    </comment>
    <comment ref="C2" authorId="0" shapeId="0">
      <text>
        <t>Изменяемое исходное значение. Данные перенесены с рисунков 57–59, приложенных пользователем.</t>
      </text>
    </comment>
  </commentList>
</comments>
</file>

<file path=xl/comments/comment2.xml><?xml version="1.0" encoding="utf-8"?>
<comments xmlns="http://schemas.openxmlformats.org/spreadsheetml/2006/main">
  <authors>
    <author>Источник</author>
  </authors>
  <commentList>
    <comment ref="A5" authorId="0" shapeId="0">
      <text>
        <t>Данные перенесены с рисунков 57–59, приложенных пользователем.</t>
      </text>
    </comment>
    <comment ref="B5" authorId="0" shapeId="0">
      <text>
        <t>Данные перенесены с рисунков 57–59, приложенных пользователем.</t>
      </text>
    </comment>
    <comment ref="C5" authorId="0" shapeId="0">
      <text>
        <t>Данные перенесены с рисунков 57–59, приложенных пользователем.</t>
      </text>
    </comment>
    <comment ref="D5" authorId="0" shapeId="0">
      <text>
        <t>Данные перенесены с рисунков 57–59, приложенных пользователем.</t>
      </text>
    </comment>
    <comment ref="E5" authorId="0" shapeId="0">
      <text>
        <t>Данные перенесены с рисунков 57–59, приложенных пользователем.</t>
      </text>
    </comment>
    <comment ref="A6" authorId="0" shapeId="0">
      <text>
        <t>Данные перенесены с рисунков 57–59, приложенных пользователем.</t>
      </text>
    </comment>
    <comment ref="B6" authorId="0" shapeId="0">
      <text>
        <t>Данные перенесены с рисунков 57–59, приложенных пользователем.</t>
      </text>
    </comment>
    <comment ref="C6" authorId="0" shapeId="0">
      <text>
        <t>Данные перенесены с рисунков 57–59, приложенных пользователем.</t>
      </text>
    </comment>
    <comment ref="D6" authorId="0" shapeId="0">
      <text>
        <t>Данные перенесены с рисунков 57–59, приложенных пользователем.</t>
      </text>
    </comment>
    <comment ref="E6" authorId="0" shapeId="0">
      <text>
        <t>Данные перенесены с рисунков 57–59, приложенных пользователем.</t>
      </text>
    </comment>
    <comment ref="A7" authorId="0" shapeId="0">
      <text>
        <t>Данные перенесены с рисунков 57–59, приложенных пользователем.</t>
      </text>
    </comment>
    <comment ref="B7" authorId="0" shapeId="0">
      <text>
        <t>Данные перенесены с рисунков 57–59, приложенных пользователем.</t>
      </text>
    </comment>
    <comment ref="C7" authorId="0" shapeId="0">
      <text>
        <t>Данные перенесены с рисунков 57–59, приложенных пользователем.</t>
      </text>
    </comment>
    <comment ref="D7" authorId="0" shapeId="0">
      <text>
        <t>Данные перенесены с рисунков 57–59, приложенных пользователем.</t>
      </text>
    </comment>
    <comment ref="E7" authorId="0" shapeId="0">
      <text>
        <t>Данные перенесены с рисунков 57–59, приложенных пользователем.</t>
      </text>
    </comment>
    <comment ref="A8" authorId="0" shapeId="0">
      <text>
        <t>Данные перенесены с рисунков 57–59, приложенных пользователем.</t>
      </text>
    </comment>
    <comment ref="B8" authorId="0" shapeId="0">
      <text>
        <t>Данные перенесены с рисунков 57–59, приложенных пользователем.</t>
      </text>
    </comment>
    <comment ref="C8" authorId="0" shapeId="0">
      <text>
        <t>Данные перенесены с рисунков 57–59, приложенных пользователем.</t>
      </text>
    </comment>
    <comment ref="D8" authorId="0" shapeId="0">
      <text>
        <t>Данные перенесены с рисунков 57–59, приложенных пользователем.</t>
      </text>
    </comment>
    <comment ref="E8" authorId="0" shapeId="0">
      <text>
        <t>Данные перенесены с рисунков 57–59, приложенных пользователем.</t>
      </text>
    </comment>
    <comment ref="A9" authorId="0" shapeId="0">
      <text>
        <t>Данные перенесены с рисунков 57–59, приложенных пользователем.</t>
      </text>
    </comment>
    <comment ref="B9" authorId="0" shapeId="0">
      <text>
        <t>Данные перенесены с рисунков 57–59, приложенных пользователем.</t>
      </text>
    </comment>
    <comment ref="C9" authorId="0" shapeId="0">
      <text>
        <t>Данные перенесены с рисунков 57–59, приложенных пользователем.</t>
      </text>
    </comment>
    <comment ref="D9" authorId="0" shapeId="0">
      <text>
        <t>Данные перенесены с рисунков 57–59, приложенных пользователем.</t>
      </text>
    </comment>
    <comment ref="E9" authorId="0" shapeId="0">
      <text>
        <t>Данные перенесены с рисунков 57–59, приложенных пользователем.</t>
      </text>
    </comment>
    <comment ref="A10" authorId="0" shapeId="0">
      <text>
        <t>Данные перенесены с рисунков 57–59, приложенных пользователем.</t>
      </text>
    </comment>
    <comment ref="B10" authorId="0" shapeId="0">
      <text>
        <t>Данные перенесены с рисунков 57–59, приложенных пользователем.</t>
      </text>
    </comment>
    <comment ref="C10" authorId="0" shapeId="0">
      <text>
        <t>Данные перенесены с рисунков 57–59, приложенных пользователем.</t>
      </text>
    </comment>
    <comment ref="D10" authorId="0" shapeId="0">
      <text>
        <t>Данные перенесены с рисунков 57–59, приложенных пользователем.</t>
      </text>
    </comment>
    <comment ref="E10" authorId="0" shapeId="0">
      <text>
        <t>Данные перенесены с рисунков 57–59, приложенных пользователем.</t>
      </text>
    </comment>
    <comment ref="A11" authorId="0" shapeId="0">
      <text>
        <t>Данные перенесены с рисунков 57–59, приложенных пользователем.</t>
      </text>
    </comment>
    <comment ref="B11" authorId="0" shapeId="0">
      <text>
        <t>Данные перенесены с рисунков 57–59, приложенных пользователем.</t>
      </text>
    </comment>
    <comment ref="C11" authorId="0" shapeId="0">
      <text>
        <t>Данные перенесены с рисунков 57–59, приложенных пользователем.</t>
      </text>
    </comment>
    <comment ref="D11" authorId="0" shapeId="0">
      <text>
        <t>Данные перенесены с рисунков 57–59, приложенных пользователем.</t>
      </text>
    </comment>
    <comment ref="E11" authorId="0" shapeId="0">
      <text>
        <t>Данные перенесены с рисунков 57–59, приложенных пользователем.</t>
      </text>
    </comment>
    <comment ref="A12" authorId="0" shapeId="0">
      <text>
        <t>Данные перенесены с рисунков 57–59, приложенных пользователем.</t>
      </text>
    </comment>
    <comment ref="B12" authorId="0" shapeId="0">
      <text>
        <t>Данные перенесены с рисунков 57–59, приложенных пользователем.</t>
      </text>
    </comment>
    <comment ref="C12" authorId="0" shapeId="0">
      <text>
        <t>Данные перенесены с рисунков 57–59, приложенных пользователем.</t>
      </text>
    </comment>
    <comment ref="D12" authorId="0" shapeId="0">
      <text>
        <t>Данные перенесены с рисунков 57–59, приложенных пользователем.</t>
      </text>
    </comment>
    <comment ref="E12" authorId="0" shapeId="0">
      <text>
        <t>Данные перенесены с рисунков 57–59, приложенных пользователем.</t>
      </text>
    </comment>
    <comment ref="A13" authorId="0" shapeId="0">
      <text>
        <t>Данные перенесены с рисунков 57–59, приложенных пользователем.</t>
      </text>
    </comment>
    <comment ref="B13" authorId="0" shapeId="0">
      <text>
        <t>Данные перенесены с рисунков 57–59, приложенных пользователем.</t>
      </text>
    </comment>
    <comment ref="C13" authorId="0" shapeId="0">
      <text>
        <t>Данные перенесены с рисунков 57–59, приложенных пользователем.</t>
      </text>
    </comment>
    <comment ref="D13" authorId="0" shapeId="0">
      <text>
        <t>Данные перенесены с рисунков 57–59, приложенных пользователем.</t>
      </text>
    </comment>
    <comment ref="E13" authorId="0" shapeId="0">
      <text>
        <t>Данные перенесены с рисунков 57–59, приложенных пользователем.</t>
      </text>
    </comment>
    <comment ref="A14" authorId="0" shapeId="0">
      <text>
        <t>Данные перенесены с рисунков 57–59, приложенных пользователем.</t>
      </text>
    </comment>
    <comment ref="B14" authorId="0" shapeId="0">
      <text>
        <t>Данные перенесены с рисунков 57–59, приложенных пользователем.</t>
      </text>
    </comment>
    <comment ref="C14" authorId="0" shapeId="0">
      <text>
        <t>Данные перенесены с рисунков 57–59, приложенных пользователем.</t>
      </text>
    </comment>
    <comment ref="D14" authorId="0" shapeId="0">
      <text>
        <t>Данные перенесены с рисунков 57–59, приложенных пользователем.</t>
      </text>
    </comment>
    <comment ref="E14" authorId="0" shapeId="0">
      <text>
        <t>Данные перенесены с рисунков 57–59, приложенных пользователем.</t>
      </text>
    </comment>
  </commentList>
</comments>
</file>

<file path=xl/comments/comment3.xml><?xml version="1.0" encoding="utf-8"?>
<comments xmlns="http://schemas.openxmlformats.org/spreadsheetml/2006/main">
  <authors>
    <author>Источник</author>
  </authors>
  <commentList>
    <comment ref="C1" authorId="0" shapeId="0">
      <text>
        <t>Данные перенесены с рисунков 57–59, приложенных пользователем.</t>
      </text>
    </comment>
    <comment ref="C2" authorId="0" shapeId="0">
      <text>
        <t>Данные перенесены с рисунков 57–59, приложенных пользователем.</t>
      </text>
    </comment>
    <comment ref="A5" authorId="0" shapeId="0">
      <text>
        <t>Данные перенесены с рисунков 57–59, приложенных пользователем.</t>
      </text>
    </comment>
    <comment ref="B5" authorId="0" shapeId="0">
      <text>
        <t>Данные перенесены с рисунков 57–59, приложенных пользователем.</t>
      </text>
    </comment>
    <comment ref="C5" authorId="0" shapeId="0">
      <text>
        <t>Данные перенесены с рисунков 57–59, приложенных пользователем.</t>
      </text>
    </comment>
    <comment ref="A6" authorId="0" shapeId="0">
      <text>
        <t>Данные перенесены с рисунков 57–59, приложенных пользователем.</t>
      </text>
    </comment>
    <comment ref="B6" authorId="0" shapeId="0">
      <text>
        <t>Данные перенесены с рисунков 57–59, приложенных пользователем.</t>
      </text>
    </comment>
    <comment ref="C6" authorId="0" shapeId="0">
      <text>
        <t>Данные перенесены с рисунков 57–59, приложенных пользователем.</t>
      </text>
    </comment>
    <comment ref="A7" authorId="0" shapeId="0">
      <text>
        <t>Данные перенесены с рисунков 57–59, приложенных пользователем.</t>
      </text>
    </comment>
    <comment ref="B7" authorId="0" shapeId="0">
      <text>
        <t>Данные перенесены с рисунков 57–59, приложенных пользователем.</t>
      </text>
    </comment>
    <comment ref="C7" authorId="0" shapeId="0">
      <text>
        <t>Данные перенесены с рисунков 57–59, приложенных пользователем.</t>
      </text>
    </comment>
    <comment ref="A8" authorId="0" shapeId="0">
      <text>
        <t>Данные перенесены с рисунков 57–59, приложенных пользователем.</t>
      </text>
    </comment>
    <comment ref="B8" authorId="0" shapeId="0">
      <text>
        <t>Данные перенесены с рисунков 57–59, приложенных пользователем.</t>
      </text>
    </comment>
    <comment ref="C8" authorId="0" shapeId="0">
      <text>
        <t>Данные перенесены с рисунков 57–59, приложенных пользователем.</t>
      </text>
    </comment>
    <comment ref="A9" authorId="0" shapeId="0">
      <text>
        <t>Данные перенесены с рисунков 57–59, приложенных пользователем.</t>
      </text>
    </comment>
    <comment ref="B9" authorId="0" shapeId="0">
      <text>
        <t>Данные перенесены с рисунков 57–59, приложенных пользователем.</t>
      </text>
    </comment>
    <comment ref="C9" authorId="0" shapeId="0">
      <text>
        <t>Данные перенесены с рисунков 57–59, приложенных пользователем.</t>
      </text>
    </comment>
    <comment ref="A10" authorId="0" shapeId="0">
      <text>
        <t>Данные перенесены с рисунков 57–59, приложенных пользователем.</t>
      </text>
    </comment>
    <comment ref="B10" authorId="0" shapeId="0">
      <text>
        <t>Данные перенесены с рисунков 57–59, приложенных пользователем.</t>
      </text>
    </comment>
    <comment ref="C10" authorId="0" shapeId="0">
      <text>
        <t>Данные перенесены с рисунков 57–59, приложенных пользователем.</t>
      </text>
    </comment>
    <comment ref="A11" authorId="0" shapeId="0">
      <text>
        <t>Данные перенесены с рисунков 57–59, приложенных пользователем.</t>
      </text>
    </comment>
    <comment ref="B11" authorId="0" shapeId="0">
      <text>
        <t>Данные перенесены с рисунков 57–59, приложенных пользователем.</t>
      </text>
    </comment>
    <comment ref="C11" authorId="0" shapeId="0">
      <text>
        <t>Данные перенесены с рисунков 57–59, приложенных пользователем.</t>
      </text>
    </comment>
    <comment ref="A12" authorId="0" shapeId="0">
      <text>
        <t>Данные перенесены с рисунков 57–59, приложенных пользователем.</t>
      </text>
    </comment>
    <comment ref="B12" authorId="0" shapeId="0">
      <text>
        <t>Данные перенесены с рисунков 57–59, приложенных пользователем.</t>
      </text>
    </comment>
    <comment ref="C12" authorId="0" shapeId="0">
      <text>
        <t>Данные перенесены с рисунков 57–59, приложенных пользователем.</t>
      </text>
    </comment>
    <comment ref="A13" authorId="0" shapeId="0">
      <text>
        <t>Данные перенесены с рисунков 57–59, приложенных пользователем.</t>
      </text>
    </comment>
    <comment ref="B13" authorId="0" shapeId="0">
      <text>
        <t>Данные перенесены с рисунков 57–59, приложенных пользователем.</t>
      </text>
    </comment>
    <comment ref="C13" authorId="0" shapeId="0">
      <text>
        <t>Данные перенесены с рисунков 57–59, приложенных пользователем.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E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13" customWidth="1" min="3" max="3"/>
    <col width="15" customWidth="1" min="4" max="4"/>
    <col width="15" customWidth="1" min="5" max="5"/>
  </cols>
  <sheetData>
    <row r="1">
      <c r="A1" s="1" t="n"/>
      <c r="B1" s="1" t="inlineStr">
        <is>
          <t>Специальность</t>
        </is>
      </c>
      <c r="C1" s="2" t="inlineStr">
        <is>
          <t>ПД</t>
        </is>
      </c>
      <c r="D1" s="1" t="n"/>
      <c r="E1" s="1" t="n"/>
    </row>
    <row r="2">
      <c r="A2" s="1" t="n"/>
      <c r="B2" s="1" t="inlineStr">
        <is>
          <t>Начало уч. года</t>
        </is>
      </c>
      <c r="C2" s="3" t="n">
        <v>37873</v>
      </c>
      <c r="D2" s="1" t="n"/>
      <c r="E2" s="1" t="n"/>
    </row>
    <row r="3" ht="30" customHeight="1">
      <c r="A3" s="1" t="n"/>
      <c r="B3" s="4" t="str">
        <f>"График учебного процесса в "&amp;YEAR($C$2)&amp;"/"&amp;(YEAR($C$2)+1)&amp;" уч. году"</f>
        <v>График учебного процесса в 2003/2004 уч. году</v>
      </c>
      <c r="C3" s="1" t="n"/>
      <c r="D3" s="1" t="n"/>
      <c r="E3" s="1" t="n"/>
    </row>
    <row r="4" ht="32" customHeight="1">
      <c r="A4" s="5" t="inlineStr">
        <is>
          <t>Код</t>
        </is>
      </c>
      <c r="B4" s="5" t="inlineStr">
        <is>
          <t>Вид занятий</t>
        </is>
      </c>
      <c r="C4" s="5" t="inlineStr">
        <is>
          <t>Кол-во недель</t>
        </is>
      </c>
      <c r="D4" s="5" t="inlineStr">
        <is>
          <t>Начало</t>
        </is>
      </c>
      <c r="E4" s="5" t="inlineStr">
        <is>
          <t>Окончание</t>
        </is>
      </c>
    </row>
    <row r="5" ht="26" customHeight="1">
      <c r="A5" s="6" t="n">
        <v>10</v>
      </c>
      <c r="B5" s="7" t="str">
        <f>VLOOKUP($A5,Выписки!$A$5:$E$14,2,FALSE)</f>
        <v>1 семестр</v>
      </c>
      <c r="C5" s="7">
        <f>INDEX(Выписки!$C$5:$E$14,MATCH($A5,Выписки!$A$5:$A$14,0),MATCH($C$1,Выписки!$C$4:$E$4,0))</f>
        <v>16.0</v>
      </c>
      <c r="D5" s="8">
        <f>IF(C5=0,"",$C$2-WEEKDAY($C$2,2)+1+7*SUM($C$4:C4))</f>
        <v>37872.0</v>
      </c>
      <c r="E5" s="8">
        <f>IF(C5=0,"",D5+7*C5-1)</f>
        <v>37983.0</v>
      </c>
    </row>
    <row r="6" ht="26" customHeight="1">
      <c r="A6" s="6" t="n">
        <v>11</v>
      </c>
      <c r="B6" s="7" t="str">
        <f>VLOOKUP($A6,Выписки!$A$5:$E$14,2,FALSE)</f>
        <v>Зачетная неделя</v>
      </c>
      <c r="C6" s="7">
        <f>INDEX(Выписки!$C$5:$E$14,MATCH($A6,Выписки!$A$5:$A$14,0),MATCH($C$1,Выписки!$C$4:$E$4,0))</f>
        <v>0.0</v>
      </c>
      <c r="D6" s="8" t="str">
        <f>IF(C6=0,"",$C$2-WEEKDAY($C$2,2)+1+7*SUM($C$4:C5))</f>
        <v/>
      </c>
      <c r="E6" s="8" t="str">
        <f>IF(C6=0,"",D6+7*C6-1)</f>
        <v/>
      </c>
    </row>
    <row r="7" ht="26" customHeight="1">
      <c r="A7" s="6" t="n">
        <v>12</v>
      </c>
      <c r="B7" s="7" t="str">
        <f>VLOOKUP($A7,Выписки!$A$5:$E$14,2,FALSE)</f>
        <v>Рожд. каникулы</v>
      </c>
      <c r="C7" s="7">
        <f>INDEX(Выписки!$C$5:$E$14,MATCH($A7,Выписки!$A$5:$A$14,0),MATCH($C$1,Выписки!$C$4:$E$4,0))</f>
        <v>1.0</v>
      </c>
      <c r="D7" s="8">
        <f>IF(C7=0,"",$C$2-WEEKDAY($C$2,2)+1+7*SUM($C$4:C6))</f>
        <v>37984.0</v>
      </c>
      <c r="E7" s="8">
        <f>IF(C7=0,"",D7+7*C7-1)</f>
        <v>37990.0</v>
      </c>
    </row>
    <row r="8" ht="26" customHeight="1">
      <c r="A8" s="6" t="n">
        <v>13</v>
      </c>
      <c r="B8" s="7" t="str">
        <f>VLOOKUP($A8,Выписки!$A$5:$E$14,2,FALSE)</f>
        <v>Зимняя сессия</v>
      </c>
      <c r="C8" s="7">
        <f>INDEX(Выписки!$C$5:$E$14,MATCH($A8,Выписки!$A$5:$A$14,0),MATCH($C$1,Выписки!$C$4:$E$4,0))</f>
        <v>3.0</v>
      </c>
      <c r="D8" s="8">
        <f>IF(C8=0,"",$C$2-WEEKDAY($C$2,2)+1+7*SUM($C$4:C7))</f>
        <v>37991.0</v>
      </c>
      <c r="E8" s="8">
        <f>IF(C8=0,"",D8+7*C8-1)</f>
        <v>38011.0</v>
      </c>
    </row>
    <row r="9" ht="26" customHeight="1">
      <c r="A9" s="6" t="n">
        <v>14</v>
      </c>
      <c r="B9" s="7" t="str">
        <f>VLOOKUP($A9,Выписки!$A$5:$E$14,2,FALSE)</f>
        <v>Зимние каникулы</v>
      </c>
      <c r="C9" s="7">
        <f>INDEX(Выписки!$C$5:$E$14,MATCH($A9,Выписки!$A$5:$A$14,0),MATCH($C$1,Выписки!$C$4:$E$4,0))</f>
        <v>2.0</v>
      </c>
      <c r="D9" s="8">
        <f>IF(C9=0,"",$C$2-WEEKDAY($C$2,2)+1+7*SUM($C$4:C8))</f>
        <v>38012.0</v>
      </c>
      <c r="E9" s="8">
        <f>IF(C9=0,"",D9+7*C9-1)</f>
        <v>38025.0</v>
      </c>
    </row>
    <row r="10" ht="26" customHeight="1">
      <c r="A10" s="6" t="n">
        <v>20</v>
      </c>
      <c r="B10" s="7" t="str">
        <f>VLOOKUP($A10,Выписки!$A$5:$E$14,2,FALSE)</f>
        <v>2 семестр</v>
      </c>
      <c r="C10" s="7">
        <f>INDEX(Выписки!$C$5:$E$14,MATCH($A10,Выписки!$A$5:$A$14,0),MATCH($C$1,Выписки!$C$4:$E$4,0))</f>
        <v>17.0</v>
      </c>
      <c r="D10" s="8">
        <f>IF(C10=0,"",$C$2-WEEKDAY($C$2,2)+1+7*SUM($C$4:C9))</f>
        <v>38026.0</v>
      </c>
      <c r="E10" s="8">
        <f>IF(C10=0,"",D10+7*C10-1)</f>
        <v>38144.0</v>
      </c>
    </row>
    <row r="11" ht="26" customHeight="1">
      <c r="A11" s="6" t="n">
        <v>22</v>
      </c>
      <c r="B11" s="7" t="str">
        <f>VLOOKUP($A11,Выписки!$A$5:$E$14,2,FALSE)</f>
        <v>Зачетная неделя</v>
      </c>
      <c r="C11" s="7">
        <f>INDEX(Выписки!$C$5:$E$14,MATCH($A11,Выписки!$A$5:$A$14,0),MATCH($C$1,Выписки!$C$4:$E$4,0))</f>
        <v>0.0</v>
      </c>
      <c r="D11" s="8" t="str">
        <f>IF(C11=0,"",$C$2-WEEKDAY($C$2,2)+1+7*SUM($C$4:C10))</f>
        <v/>
      </c>
      <c r="E11" s="8" t="str">
        <f>IF(C11=0,"",D11+7*C11-1)</f>
        <v/>
      </c>
    </row>
    <row r="12" ht="26" customHeight="1">
      <c r="A12" s="6" t="n">
        <v>23</v>
      </c>
      <c r="B12" s="7" t="str">
        <f>VLOOKUP($A12,Выписки!$A$5:$E$14,2,FALSE)</f>
        <v>Летняя сессия</v>
      </c>
      <c r="C12" s="7">
        <f>INDEX(Выписки!$C$5:$E$14,MATCH($A12,Выписки!$A$5:$A$14,0),MATCH($C$1,Выписки!$C$4:$E$4,0))</f>
        <v>3.0</v>
      </c>
      <c r="D12" s="8">
        <f>IF(C12=0,"",$C$2-WEEKDAY($C$2,2)+1+7*SUM($C$4:C11))</f>
        <v>38145.0</v>
      </c>
      <c r="E12" s="8">
        <f>IF(C12=0,"",D12+7*C12-1)</f>
        <v>38165.0</v>
      </c>
    </row>
    <row r="13" ht="26" customHeight="1">
      <c r="A13" s="6" t="n">
        <v>24</v>
      </c>
      <c r="B13" s="7" t="str">
        <f>VLOOKUP($A13,Выписки!$A$5:$E$14,2,FALSE)</f>
        <v>Практика</v>
      </c>
      <c r="C13" s="7">
        <f>INDEX(Выписки!$C$5:$E$14,MATCH($A13,Выписки!$A$5:$A$14,0),MATCH($C$1,Выписки!$C$4:$E$4,0))</f>
        <v>3.0</v>
      </c>
      <c r="D13" s="8">
        <f>IF(C13=0,"",$C$2-WEEKDAY($C$2,2)+1+7*SUM($C$4:C12))</f>
        <v>38166.0</v>
      </c>
      <c r="E13" s="8">
        <f>IF(C13=0,"",D13+7*C13-1)</f>
        <v>38186.0</v>
      </c>
    </row>
    <row r="14" ht="26" customHeight="1">
      <c r="A14" s="6" t="n">
        <v>25</v>
      </c>
      <c r="B14" s="7" t="str">
        <f>VLOOKUP($A14,Выписки!$A$5:$E$14,2,FALSE)</f>
        <v>Каникулы</v>
      </c>
      <c r="C14" s="7">
        <f>INDEX(Выписки!$C$5:$E$14,MATCH($A14,Выписки!$A$5:$A$14,0),MATCH($C$1,Выписки!$C$4:$E$4,0))</f>
        <v>7.0</v>
      </c>
      <c r="D14" s="8">
        <f>IF(C14=0,"",$C$2-WEEKDAY($C$2,2)+1+7*SUM($C$4:C13))</f>
        <v>38187.0</v>
      </c>
      <c r="E14" s="8">
        <f>IF(C14=0,"",D14+7*C14-1)</f>
        <v>38235.0</v>
      </c>
    </row>
    <row r="15">
      <c r="A15" s="1" t="n"/>
      <c r="B15" s="1" t="n"/>
      <c r="C15" s="1" t="n"/>
      <c r="D15" s="1" t="n"/>
      <c r="E15" s="1" t="n"/>
    </row>
    <row r="16" ht="30" customHeight="1">
      <c r="A16" s="9" t="inlineStr">
        <is>
          <t>Жёлтые ячейки C1 и C2 можно изменять. Остальные значения рассчитываются формулами.</t>
        </is>
      </c>
      <c r="B16" s="1" t="n"/>
      <c r="C16" s="1" t="n"/>
      <c r="D16" s="1" t="n"/>
      <c r="E16" s="1" t="n"/>
    </row>
    <row r="17" ht="45" customHeight="1">
      <c r="A17" s="9" t="inlineStr">
        <is>
          <t>Первая неделя начинается с понедельника той недели, в которую попадает дата C2. При 09.09.2003 получается 08.09.2003, как на рисунке 57.</t>
        </is>
      </c>
      <c r="B17" s="1" t="n"/>
      <c r="C17" s="1" t="n"/>
      <c r="D17" s="1" t="n"/>
      <c r="E17" s="1" t="n"/>
    </row>
    <row r="18" ht="42" customHeight="1">
      <c r="A18" s="9" t="inlineStr">
        <is>
          <t>Если количество недель равно 0, начало и окончание остаются пустыми. Следующий этап начинается сразу после предыдущего непустого этапа.</t>
        </is>
      </c>
      <c r="B18" s="1" t="n"/>
      <c r="C18" s="1" t="n"/>
      <c r="D18" s="1" t="n"/>
      <c r="E18" s="1" t="n"/>
    </row>
  </sheetData>
  <mergeCells count="4">
    <mergeCell ref="A16:E16"/>
    <mergeCell ref="A17:E17"/>
    <mergeCell ref="A18:E18"/>
    <mergeCell ref="B3:E3"/>
  </mergeCells>
  <dataValidations count="1">
    <dataValidation sqref="C1" showDropDown="0" showInputMessage="0" showErrorMessage="1" allowBlank="0" errorTitle="Выберите специальность" error="Допустимы ПД, МОПК и ПМ." type="list">
      <formula1>"ПД,МОПК,ПМ"</formula1>
    </dataValidation>
  </dataValidations>
  <pageMargins left="0.3" right="0.3" top="0.4" bottom="0.4" header="0.5" footer="0.5"/>
  <pageSetup orientation="portrait" paperSize="9" fitToHeight="1" fitToWidth="1"/>
  <headerFooter>
    <oddHeader/>
    <oddFooter>&amp;C&amp;9 Страница &amp;P из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0"/>
    <pageSetUpPr fitToPage="1"/>
  </sheetPr>
  <dimension ref="A1:E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4" t="inlineStr">
        <is>
          <t>Выписки из учебного плана</t>
        </is>
      </c>
      <c r="B1" s="1" t="n"/>
      <c r="C1" s="1" t="n"/>
      <c r="D1" s="1" t="n"/>
      <c r="E1" s="1" t="n"/>
    </row>
    <row r="2" ht="30" customHeight="1">
      <c r="A2" s="4" t="inlineStr">
        <is>
          <t>Количество недель на разные виды занятий</t>
        </is>
      </c>
      <c r="B2" s="1" t="n"/>
      <c r="C2" s="1" t="n"/>
      <c r="D2" s="1" t="n"/>
      <c r="E2" s="1" t="n"/>
    </row>
    <row r="3">
      <c r="A3" s="6" t="n"/>
      <c r="B3" s="6" t="n"/>
      <c r="C3" s="10" t="inlineStr">
        <is>
          <t>Специальность</t>
        </is>
      </c>
      <c r="D3" s="6" t="n"/>
      <c r="E3" s="6" t="n"/>
    </row>
    <row r="4">
      <c r="A4" s="5" t="inlineStr">
        <is>
          <t>Код</t>
        </is>
      </c>
      <c r="B4" s="5" t="inlineStr">
        <is>
          <t>Вид занятий</t>
        </is>
      </c>
      <c r="C4" s="5" t="inlineStr">
        <is>
          <t>ПД</t>
        </is>
      </c>
      <c r="D4" s="5" t="inlineStr">
        <is>
          <t>МОПК</t>
        </is>
      </c>
      <c r="E4" s="5" t="inlineStr">
        <is>
          <t>ПМ</t>
        </is>
      </c>
    </row>
    <row r="5" ht="24" customHeight="1">
      <c r="A5" s="6" t="n">
        <v>10</v>
      </c>
      <c r="B5" s="6" t="inlineStr">
        <is>
          <t>1 семестр</t>
        </is>
      </c>
      <c r="C5" s="6" t="n">
        <v>16</v>
      </c>
      <c r="D5" s="6" t="n">
        <v>16</v>
      </c>
      <c r="E5" s="6" t="n">
        <v>15</v>
      </c>
    </row>
    <row r="6" ht="24" customHeight="1">
      <c r="A6" s="6" t="n">
        <v>11</v>
      </c>
      <c r="B6" s="6" t="inlineStr">
        <is>
          <t>Зачетная неделя</t>
        </is>
      </c>
      <c r="C6" s="6" t="n">
        <v>0</v>
      </c>
      <c r="D6" s="6" t="n">
        <v>0</v>
      </c>
      <c r="E6" s="6" t="n">
        <v>1</v>
      </c>
    </row>
    <row r="7" ht="24" customHeight="1">
      <c r="A7" s="6" t="n">
        <v>12</v>
      </c>
      <c r="B7" s="6" t="inlineStr">
        <is>
          <t>Рожд. каникулы</t>
        </is>
      </c>
      <c r="C7" s="6" t="n">
        <v>1</v>
      </c>
      <c r="D7" s="6" t="n">
        <v>1</v>
      </c>
      <c r="E7" s="6" t="n">
        <v>1</v>
      </c>
    </row>
    <row r="8" ht="24" customHeight="1">
      <c r="A8" s="6" t="n">
        <v>13</v>
      </c>
      <c r="B8" s="6" t="inlineStr">
        <is>
          <t>Зимняя сессия</t>
        </is>
      </c>
      <c r="C8" s="6" t="n">
        <v>3</v>
      </c>
      <c r="D8" s="6" t="n">
        <v>3</v>
      </c>
      <c r="E8" s="6" t="n">
        <v>3</v>
      </c>
    </row>
    <row r="9" ht="24" customHeight="1">
      <c r="A9" s="6" t="n">
        <v>14</v>
      </c>
      <c r="B9" s="6" t="inlineStr">
        <is>
          <t>Зимние каникулы</t>
        </is>
      </c>
      <c r="C9" s="6" t="n">
        <v>2</v>
      </c>
      <c r="D9" s="6" t="n">
        <v>2</v>
      </c>
      <c r="E9" s="6" t="n">
        <v>2</v>
      </c>
    </row>
    <row r="10" ht="24" customHeight="1">
      <c r="A10" s="6" t="n">
        <v>20</v>
      </c>
      <c r="B10" s="6" t="inlineStr">
        <is>
          <t>2 семестр</t>
        </is>
      </c>
      <c r="C10" s="6" t="n">
        <v>17</v>
      </c>
      <c r="D10" s="6" t="n">
        <v>17</v>
      </c>
      <c r="E10" s="6" t="n">
        <v>15</v>
      </c>
    </row>
    <row r="11" ht="24" customHeight="1">
      <c r="A11" s="6" t="n">
        <v>22</v>
      </c>
      <c r="B11" s="6" t="inlineStr">
        <is>
          <t>Зачетная неделя</t>
        </is>
      </c>
      <c r="C11" s="6" t="n">
        <v>0</v>
      </c>
      <c r="D11" s="6" t="n">
        <v>0</v>
      </c>
      <c r="E11" s="6" t="n">
        <v>1</v>
      </c>
    </row>
    <row r="12" ht="24" customHeight="1">
      <c r="A12" s="6" t="n">
        <v>23</v>
      </c>
      <c r="B12" s="6" t="inlineStr">
        <is>
          <t>Летняя сессия</t>
        </is>
      </c>
      <c r="C12" s="6" t="n">
        <v>3</v>
      </c>
      <c r="D12" s="6" t="n">
        <v>3</v>
      </c>
      <c r="E12" s="6" t="n">
        <v>4</v>
      </c>
    </row>
    <row r="13" ht="24" customHeight="1">
      <c r="A13" s="6" t="n">
        <v>24</v>
      </c>
      <c r="B13" s="6" t="inlineStr">
        <is>
          <t>Практика</t>
        </is>
      </c>
      <c r="C13" s="6" t="n">
        <v>3</v>
      </c>
      <c r="D13" s="6" t="n">
        <v>0</v>
      </c>
      <c r="E13" s="6" t="n">
        <v>0</v>
      </c>
    </row>
    <row r="14" ht="24" customHeight="1">
      <c r="A14" s="6" t="n">
        <v>25</v>
      </c>
      <c r="B14" s="6" t="inlineStr">
        <is>
          <t>Каникулы</t>
        </is>
      </c>
      <c r="C14" s="6" t="n">
        <v>7</v>
      </c>
      <c r="D14" s="6" t="n">
        <v>10</v>
      </c>
      <c r="E14" s="6" t="n">
        <v>10</v>
      </c>
    </row>
    <row r="15">
      <c r="A15" s="1" t="n"/>
      <c r="B15" s="1" t="n"/>
      <c r="C15" s="1" t="n"/>
      <c r="D15" s="1" t="n"/>
      <c r="E15" s="1" t="n"/>
    </row>
    <row r="16" ht="38" customHeight="1">
      <c r="A16" s="1" t="inlineStr">
        <is>
          <t>Источник:</t>
        </is>
      </c>
      <c r="B16" s="9" t="inlineStr">
        <is>
          <t>Данные перенесены с рисунков 57–59, приложенных пользователем.</t>
        </is>
      </c>
      <c r="C16" s="1" t="n"/>
      <c r="D16" s="1" t="n"/>
      <c r="E16" s="1" t="n"/>
    </row>
  </sheetData>
  <mergeCells count="4">
    <mergeCell ref="A2:E2"/>
    <mergeCell ref="A1:E1"/>
    <mergeCell ref="C3:E3"/>
    <mergeCell ref="B16:E16"/>
  </mergeCells>
  <pageMargins left="0.3" right="0.3" top="0.4" bottom="0.4" header="0.5" footer="0.5"/>
  <pageSetup orientation="portrait" paperSize="9" fitToHeight="1" fitToWidth="1"/>
  <headerFooter>
    <oddHeader/>
    <oddFooter>&amp;C&amp;9 Страница &amp;P из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0"/>
    <pageSetUpPr fitToPage="1"/>
  </sheetPr>
  <dimension ref="A1:E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6" customWidth="1" min="3" max="3"/>
    <col width="20" customWidth="1" min="4" max="4"/>
    <col width="24" customWidth="1" min="5" max="5"/>
  </cols>
  <sheetData>
    <row r="1">
      <c r="A1" s="1" t="inlineStr">
        <is>
          <t>Начало тестирования:</t>
        </is>
      </c>
      <c r="B1" s="1" t="n"/>
      <c r="C1" s="11" t="n">
        <v>0.5625</v>
      </c>
      <c r="D1" s="1" t="n"/>
      <c r="E1" s="1" t="n"/>
    </row>
    <row r="2" ht="34" customHeight="1">
      <c r="A2" s="1" t="inlineStr">
        <is>
          <t>Нормативное время одной задачи, мин</t>
        </is>
      </c>
      <c r="B2" s="1" t="n"/>
      <c r="C2" s="2" t="n">
        <v>20</v>
      </c>
      <c r="D2" s="1" t="n"/>
      <c r="E2" s="1" t="n"/>
    </row>
    <row r="3" ht="30" customHeight="1">
      <c r="A3" s="4" t="inlineStr">
        <is>
          <t>Протокол сдачи решения задач</t>
        </is>
      </c>
      <c r="B3" s="1" t="n"/>
      <c r="C3" s="1" t="n"/>
      <c r="D3" s="1" t="n"/>
      <c r="E3" s="1" t="n"/>
    </row>
    <row r="4" ht="64" customHeight="1">
      <c r="A4" s="5" t="inlineStr">
        <is>
          <t>Тестируемый</t>
        </is>
      </c>
      <c r="B4" s="5" t="inlineStr">
        <is>
          <t>Номер задачи</t>
        </is>
      </c>
      <c r="C4" s="5" t="inlineStr">
        <is>
          <t>Время сдачи решения</t>
        </is>
      </c>
      <c r="D4" s="5" t="inlineStr">
        <is>
          <t>Время выполнения задачи, мин</t>
        </is>
      </c>
      <c r="E4" s="5" t="inlineStr">
        <is>
          <t>Отклонение от нормативного времени, мин</t>
        </is>
      </c>
    </row>
    <row r="5" ht="26" customHeight="1">
      <c r="A5" s="6" t="inlineStr">
        <is>
          <t>Иванов А.</t>
        </is>
      </c>
      <c r="B5" s="6" t="n">
        <v>1</v>
      </c>
      <c r="C5" s="12" t="n">
        <v>0.575</v>
      </c>
      <c r="D5" s="6">
        <f>ROUND((C5-$C$1)*1440-SUMIF($A$4:A4,A5,$D$4:D4),0)</f>
        <v>18.0</v>
      </c>
      <c r="E5" s="6">
        <f>$C$2-D5</f>
        <v>2.0</v>
      </c>
    </row>
    <row r="6" ht="26" customHeight="1">
      <c r="A6" s="6" t="inlineStr">
        <is>
          <t>Петров Н.</t>
        </is>
      </c>
      <c r="B6" s="6" t="n">
        <v>1</v>
      </c>
      <c r="C6" s="12" t="n">
        <v>0.5756944444444444</v>
      </c>
      <c r="D6" s="6">
        <f>ROUND((C6-$C$1)*1440-SUMIF($A$4:A5,A6,$D$4:D5),0)</f>
        <v>19.0</v>
      </c>
      <c r="E6" s="6">
        <f>$C$2-D6</f>
        <v>1.0</v>
      </c>
    </row>
    <row r="7" ht="26" customHeight="1">
      <c r="A7" s="6" t="inlineStr">
        <is>
          <t>Максимов И.</t>
        </is>
      </c>
      <c r="B7" s="6" t="n">
        <v>1</v>
      </c>
      <c r="C7" s="12" t="n">
        <v>0.5770833333333333</v>
      </c>
      <c r="D7" s="6">
        <f>ROUND((C7-$C$1)*1440-SUMIF($A$4:A6,A7,$D$4:D6),0)</f>
        <v>21.0</v>
      </c>
      <c r="E7" s="6">
        <f>$C$2-D7</f>
        <v>-1.0</v>
      </c>
    </row>
    <row r="8" ht="26" customHeight="1">
      <c r="A8" s="6" t="inlineStr">
        <is>
          <t>Петров Н.</t>
        </is>
      </c>
      <c r="B8" s="6" t="n">
        <v>2</v>
      </c>
      <c r="C8" s="12" t="n">
        <v>0.5888888888888889</v>
      </c>
      <c r="D8" s="6">
        <f>ROUND((C8-$C$1)*1440-SUMIF($A$4:A7,A8,$D$4:D7),0)</f>
        <v>19.0</v>
      </c>
      <c r="E8" s="6">
        <f>$C$2-D8</f>
        <v>1.0</v>
      </c>
    </row>
    <row r="9" ht="26" customHeight="1">
      <c r="A9" s="6" t="inlineStr">
        <is>
          <t>Иванов А.</t>
        </is>
      </c>
      <c r="B9" s="6" t="n">
        <v>2</v>
      </c>
      <c r="C9" s="12" t="n">
        <v>0.5895833333333333</v>
      </c>
      <c r="D9" s="6">
        <f>ROUND((C9-$C$1)*1440-SUMIF($A$4:A8,A9,$D$4:D8),0)</f>
        <v>21.0</v>
      </c>
      <c r="E9" s="6">
        <f>$C$2-D9</f>
        <v>-1.0</v>
      </c>
    </row>
    <row r="10" ht="26" customHeight="1">
      <c r="A10" s="6" t="inlineStr">
        <is>
          <t>Максимов И.</t>
        </is>
      </c>
      <c r="B10" s="6" t="n">
        <v>2</v>
      </c>
      <c r="C10" s="12" t="n">
        <v>0.5909722222222222</v>
      </c>
      <c r="D10" s="6">
        <f>ROUND((C10-$C$1)*1440-SUMIF($A$4:A9,A10,$D$4:D9),0)</f>
        <v>20.0</v>
      </c>
      <c r="E10" s="6">
        <f>$C$2-D10</f>
        <v>0.0</v>
      </c>
    </row>
    <row r="11" ht="26" customHeight="1">
      <c r="A11" s="6" t="inlineStr">
        <is>
          <t>Иванов А.</t>
        </is>
      </c>
      <c r="B11" s="6" t="n">
        <v>3</v>
      </c>
      <c r="C11" s="12" t="n">
        <v>0.6006944444444444</v>
      </c>
      <c r="D11" s="6">
        <f>ROUND((C11-$C$1)*1440-SUMIF($A$4:A10,A11,$D$4:D10),0)</f>
        <v>16.0</v>
      </c>
      <c r="E11" s="6">
        <f>$C$2-D11</f>
        <v>4.0</v>
      </c>
    </row>
    <row r="12" ht="26" customHeight="1">
      <c r="A12" s="6" t="inlineStr">
        <is>
          <t>Петров Н.</t>
        </is>
      </c>
      <c r="B12" s="6" t="n">
        <v>3</v>
      </c>
      <c r="C12" s="12" t="n">
        <v>0.6034722222222222</v>
      </c>
      <c r="D12" s="6">
        <f>ROUND((C12-$C$1)*1440-SUMIF($A$4:A11,A12,$D$4:D11),0)</f>
        <v>21.0</v>
      </c>
      <c r="E12" s="6">
        <f>$C$2-D12</f>
        <v>-1.0</v>
      </c>
    </row>
    <row r="13" ht="26" customHeight="1">
      <c r="A13" s="6" t="inlineStr">
        <is>
          <t>Максимов И.</t>
        </is>
      </c>
      <c r="B13" s="6" t="n">
        <v>3</v>
      </c>
      <c r="C13" s="12" t="n">
        <v>0.6041666666666666</v>
      </c>
      <c r="D13" s="6">
        <f>ROUND((C13-$C$1)*1440-SUMIF($A$4:A12,A13,$D$4:D12),0)</f>
        <v>19.0</v>
      </c>
      <c r="E13" s="6">
        <f>$C$2-D13</f>
        <v>1.0</v>
      </c>
    </row>
    <row r="14">
      <c r="A14" s="1" t="n"/>
      <c r="B14" s="1" t="n"/>
      <c r="C14" s="1" t="n"/>
      <c r="D14" s="1" t="n"/>
      <c r="E14" s="1" t="n"/>
    </row>
    <row r="15" ht="34" customHeight="1">
      <c r="A15" s="9" t="inlineStr">
        <is>
          <t>Положительное отклонение — задача решена быстрее норматива; отрицательное — медленнее.</t>
        </is>
      </c>
      <c r="B15" s="1" t="n"/>
      <c r="C15" s="1" t="n"/>
      <c r="D15" s="1" t="n"/>
      <c r="E15" s="1" t="n"/>
    </row>
    <row r="16" ht="45" customHeight="1">
      <c r="A16" s="9" t="inlineStr">
        <is>
          <t>Для каждого студента задачи выполняются последовательно, без перерывов: первая начинается в C1, следующая — после сдачи предыдущей. Этот порядок соответствует рисунку 59.</t>
        </is>
      </c>
      <c r="B16" s="1" t="n"/>
      <c r="C16" s="1" t="n"/>
      <c r="D16" s="1" t="n"/>
      <c r="E16" s="1" t="n"/>
    </row>
  </sheetData>
  <mergeCells count="5">
    <mergeCell ref="A2:B2"/>
    <mergeCell ref="A16:E16"/>
    <mergeCell ref="A15:E15"/>
    <mergeCell ref="A1:B1"/>
    <mergeCell ref="A3:E3"/>
  </mergeCells>
  <conditionalFormatting sqref="E5:E13">
    <cfRule type="cellIs" priority="1" operator="lessThan" dxfId="0">
      <formula>0</formula>
    </cfRule>
  </conditionalFormatting>
  <pageMargins left="0.3" right="0.3" top="0.4" bottom="0.4" header="0.5" footer="0.5"/>
  <pageSetup orientation="portrait" paperSize="9" fitToHeight="1" fitToWidth="1"/>
  <headerFooter>
    <oddHeader/>
    <oddFooter>&amp;C&amp;9 Страница &amp;P из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0"/>
    <pageSetUpPr fitToPage="1"/>
  </sheetPr>
  <dimension ref="A1:E8"/>
  <sheetViews>
    <sheetView showGridLines="0" workbookViewId="0">
      <pane xSplit="1" ySplit="3" topLeftCell="B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8" customWidth="1" min="2" max="2"/>
    <col width="20" customWidth="1" min="3" max="3"/>
    <col width="22" customWidth="1" min="4" max="4"/>
    <col width="25" customWidth="1" min="5" max="5"/>
  </cols>
  <sheetData>
    <row r="1" ht="30" customHeight="1">
      <c r="A1" s="4" t="inlineStr">
        <is>
          <t>Время выполнения теста по студентам</t>
        </is>
      </c>
      <c r="B1" s="1" t="n"/>
      <c r="C1" s="1" t="n"/>
      <c r="D1" s="1" t="n"/>
      <c r="E1" s="1" t="n"/>
    </row>
    <row r="2">
      <c r="A2" s="1" t="n"/>
      <c r="B2" s="1" t="n"/>
      <c r="C2" s="1" t="n"/>
      <c r="D2" s="1" t="n"/>
      <c r="E2" s="1" t="n"/>
    </row>
    <row r="3" ht="64" customHeight="1">
      <c r="A3" s="5" t="inlineStr">
        <is>
          <t>Студент</t>
        </is>
      </c>
      <c r="B3" s="5" t="inlineStr">
        <is>
          <t>Решено задач</t>
        </is>
      </c>
      <c r="C3" s="5" t="inlineStr">
        <is>
          <t>Всего времени, мин</t>
        </is>
      </c>
      <c r="D3" s="5" t="inlineStr">
        <is>
          <t>Время в часах и минутах</t>
        </is>
      </c>
      <c r="E3" s="5" t="inlineStr">
        <is>
          <t>Отклонение от общего норматива, мин</t>
        </is>
      </c>
    </row>
    <row r="4" ht="30" customHeight="1">
      <c r="A4" s="6" t="inlineStr">
        <is>
          <t>Иванов А.</t>
        </is>
      </c>
      <c r="B4" s="6">
        <f>COUNTIF(Протокол!$A$5:$A$13,A4)</f>
        <v>3.0</v>
      </c>
      <c r="C4" s="6">
        <f>SUMIF(Протокол!$A$5:$A$13,A4,Протокол!$D$5:$D$13)</f>
        <v>55.0</v>
      </c>
      <c r="D4" s="13">
        <f>C4/1440</f>
        <v>0.03819444444444445</v>
      </c>
      <c r="E4" s="6">
        <f>B4*Протокол!$C$2-C4</f>
        <v>5.0</v>
      </c>
    </row>
    <row r="5" ht="30" customHeight="1">
      <c r="A5" s="6" t="inlineStr">
        <is>
          <t>Петров Н.</t>
        </is>
      </c>
      <c r="B5" s="6">
        <f>COUNTIF(Протокол!$A$5:$A$13,A5)</f>
        <v>3.0</v>
      </c>
      <c r="C5" s="6">
        <f>SUMIF(Протокол!$A$5:$A$13,A5,Протокол!$D$5:$D$13)</f>
        <v>59.0</v>
      </c>
      <c r="D5" s="13">
        <f>C5/1440</f>
        <v>0.04097222222222222</v>
      </c>
      <c r="E5" s="6">
        <f>B5*Протокол!$C$2-C5</f>
        <v>1.0</v>
      </c>
    </row>
    <row r="6" ht="30" customHeight="1">
      <c r="A6" s="6" t="inlineStr">
        <is>
          <t>Максимов И.</t>
        </is>
      </c>
      <c r="B6" s="6">
        <f>COUNTIF(Протокол!$A$5:$A$13,A6)</f>
        <v>3.0</v>
      </c>
      <c r="C6" s="6">
        <f>SUMIF(Протокол!$A$5:$A$13,A6,Протокол!$D$5:$D$13)</f>
        <v>60.0</v>
      </c>
      <c r="D6" s="13">
        <f>C6/1440</f>
        <v>0.041666666666666664</v>
      </c>
      <c r="E6" s="6">
        <f>B6*Протокол!$C$2-C6</f>
        <v>0.0</v>
      </c>
    </row>
    <row r="7">
      <c r="A7" s="1" t="n"/>
      <c r="B7" s="1" t="n"/>
      <c r="C7" s="1" t="n"/>
      <c r="D7" s="1" t="n"/>
      <c r="E7" s="1" t="n"/>
    </row>
    <row r="8" ht="40" customHeight="1">
      <c r="A8" s="9" t="inlineStr">
        <is>
          <t>Итоговое время каждого студента — сумма времени выполнения его задач. Норматив для трёх задач при C2 = 20 составляет 60 минут.</t>
        </is>
      </c>
      <c r="B8" s="1" t="n"/>
      <c r="C8" s="1" t="n"/>
      <c r="D8" s="1" t="n"/>
      <c r="E8" s="1" t="n"/>
    </row>
  </sheetData>
  <mergeCells count="2">
    <mergeCell ref="A1:E1"/>
    <mergeCell ref="A8:E8"/>
  </mergeCells>
  <pageMargins left="0.3" right="0.3" top="0.4" bottom="0.4" header="0.5" footer="0.5"/>
  <pageSetup orientation="portrait" paperSize="9" fitToHeight="1" fitToWidth="1"/>
  <headerFooter>
    <oddHeader/>
    <oddFooter>&amp;C&amp;9 Страница &amp;P из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0"/>
    <pageSetUpPr fitToPage="1"/>
  </sheetPr>
  <dimension ref="A1:C18"/>
  <sheetViews>
    <sheetView showGridLines="0" workbookViewId="0">
      <pane xSplit="2" ySplit="3" topLeftCell="C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2" customWidth="1" min="2" max="2"/>
    <col width="96" customWidth="1" min="3" max="3"/>
  </cols>
  <sheetData>
    <row r="1" ht="30" customHeight="1">
      <c r="A1" s="4" t="inlineStr">
        <is>
          <t>Решение заданий 2 и 3: формулы и пояснения</t>
        </is>
      </c>
      <c r="B1" s="1" t="n"/>
      <c r="C1" s="1" t="n"/>
    </row>
    <row r="2" ht="34" customHeight="1">
      <c r="A2" s="9" t="inlineStr">
        <is>
          <t>Формулы ниже записаны для русской версии Excel. Внутри файла они хранятся в стандартной английской записи.</t>
        </is>
      </c>
      <c r="B2" s="1" t="n"/>
      <c r="C2" s="1" t="n"/>
    </row>
    <row r="3" ht="26" customHeight="1">
      <c r="A3" s="5" t="inlineStr">
        <is>
          <t>Где вводить</t>
        </is>
      </c>
      <c r="B3" s="5" t="inlineStr">
        <is>
          <t>Назначение</t>
        </is>
      </c>
      <c r="C3" s="5" t="inlineStr">
        <is>
          <t>Формула / пояснение</t>
        </is>
      </c>
    </row>
    <row r="4" ht="40" customHeight="1">
      <c r="A4" s="6" t="inlineStr">
        <is>
          <t>График!B5</t>
        </is>
      </c>
      <c r="B4" s="6" t="inlineStr">
        <is>
          <t>Название вида занятий</t>
        </is>
      </c>
      <c r="C4" s="6" t="inlineStr">
        <is>
          <t>=ВПР($A5;Выписки!$A$5:$E$14;2;ЛОЖЬ)</t>
        </is>
      </c>
    </row>
    <row r="5" ht="40" customHeight="1">
      <c r="A5" s="6" t="inlineStr">
        <is>
          <t>График!C5</t>
        </is>
      </c>
      <c r="B5" s="6" t="inlineStr">
        <is>
          <t>Количество недель по специальности</t>
        </is>
      </c>
      <c r="C5" s="6" t="inlineStr">
        <is>
          <t>=ИНДЕКС(Выписки!$C$5:$E$14;ПОИСКПОЗ($A5;Выписки!$A$5:$A$14;0);ПОИСКПОЗ($C$1;Выписки!$C$4:$E$4;0))</t>
        </is>
      </c>
    </row>
    <row r="6" ht="40" customHeight="1">
      <c r="A6" s="6" t="inlineStr">
        <is>
          <t>График!D5</t>
        </is>
      </c>
      <c r="B6" s="6" t="inlineStr">
        <is>
          <t>Начало очередного этапа</t>
        </is>
      </c>
      <c r="C6" s="6" t="inlineStr">
        <is>
          <t>=ЕСЛИ(C5=0;"";$C$2-ДЕНЬНЕД($C$2;2)+1+7*СУММ($C$4:C4))</t>
        </is>
      </c>
    </row>
    <row r="7" ht="40" customHeight="1">
      <c r="A7" s="6" t="inlineStr">
        <is>
          <t>График!E5</t>
        </is>
      </c>
      <c r="B7" s="6" t="inlineStr">
        <is>
          <t>Последний день этапа</t>
        </is>
      </c>
      <c r="C7" s="6" t="inlineStr">
        <is>
          <t>=ЕСЛИ(C5=0;"";D5+7*C5-1)</t>
        </is>
      </c>
    </row>
    <row r="8" ht="40" customHeight="1">
      <c r="A8" s="6" t="inlineStr">
        <is>
          <t>График</t>
        </is>
      </c>
      <c r="B8" s="6" t="inlineStr">
        <is>
          <t>Копирование</t>
        </is>
      </c>
      <c r="C8" s="6" t="inlineStr">
        <is>
          <t>Скопировать B5:E5 вниз до строки 14. Знаки $ сохраняют адреса исходных данных; номера текущих строк меняются автоматически.</t>
        </is>
      </c>
    </row>
    <row r="9" ht="40" customHeight="1">
      <c r="A9" s="6" t="inlineStr">
        <is>
          <t>Протокол!D5</t>
        </is>
      </c>
      <c r="B9" s="6" t="inlineStr">
        <is>
          <t>Время решения текущей задачи</t>
        </is>
      </c>
      <c r="C9" s="6" t="inlineStr">
        <is>
          <t>=ОКРУГЛ((C5-$C$1)*1440-СУММЕСЛИ($A$4:A4;A5;$D$4:D4);0)</t>
        </is>
      </c>
    </row>
    <row r="10" ht="40" customHeight="1">
      <c r="A10" s="6" t="inlineStr">
        <is>
          <t>Протокол!E5</t>
        </is>
      </c>
      <c r="B10" s="6" t="inlineStr">
        <is>
          <t>Отклонение от норматива</t>
        </is>
      </c>
      <c r="C10" s="6" t="inlineStr">
        <is>
          <t>=$C$2-D5</t>
        </is>
      </c>
    </row>
    <row r="11" ht="40" customHeight="1">
      <c r="A11" s="6" t="inlineStr">
        <is>
          <t>Протокол</t>
        </is>
      </c>
      <c r="B11" s="6" t="inlineStr">
        <is>
          <t>Копирование</t>
        </is>
      </c>
      <c r="C11" s="6" t="inlineStr">
        <is>
          <t>Скопировать D5:E5 вниз до строки 13. Диапазоны A4:A4 и D4:D4 в первой строке содержат только заголовки; СУММЕСЛИ возвращает 0.</t>
        </is>
      </c>
    </row>
    <row r="12" ht="54" customHeight="1">
      <c r="A12" s="6" t="inlineStr">
        <is>
          <t>Протокол!D5</t>
        </is>
      </c>
      <c r="B12" s="6" t="inlineStr">
        <is>
          <t>Почему работает формула</t>
        </is>
      </c>
      <c r="C12" s="6" t="inlineStr">
        <is>
          <t>Разность C5−C1 — всё время от начала теста до текущей сдачи. Умножение на 1440 переводит долю суток в минуты. Затем вычитается уже затраченное этим же студентом время. Округление убирает погрешность хранения времени.</t>
        </is>
      </c>
    </row>
    <row r="13" ht="40" customHeight="1">
      <c r="A13" s="6" t="inlineStr">
        <is>
          <t>Итоги!C4</t>
        </is>
      </c>
      <c r="B13" s="6" t="inlineStr">
        <is>
          <t>Общее время студента</t>
        </is>
      </c>
      <c r="C13" s="6" t="inlineStr">
        <is>
          <t>=СУММЕСЛИ(Протокол!$A$5:$A$13;A4;Протокол!$D$5:$D$13)</t>
        </is>
      </c>
    </row>
    <row r="14" ht="40" customHeight="1">
      <c r="A14" s="6" t="inlineStr">
        <is>
          <t>Результат</t>
        </is>
      </c>
      <c r="B14" s="6" t="inlineStr">
        <is>
          <t>Суммарное время</t>
        </is>
      </c>
      <c r="C14" s="6" t="inlineStr">
        <is>
          <t>Иванов А. — 55 мин; Петров Н. — 59 мин; Максимов И. — 60 мин. Эти значения рассчитываются на листе «Итоги».</t>
        </is>
      </c>
    </row>
    <row r="15" ht="40" customHeight="1">
      <c r="A15" s="6" t="inlineStr">
        <is>
          <t>Исходные данные</t>
        </is>
      </c>
      <c r="B15" s="6" t="inlineStr">
        <is>
          <t>График</t>
        </is>
      </c>
      <c r="C15" s="6" t="inlineStr">
        <is>
          <t>Данные специальностей, видов занятий, кодов и количества недель взяты с рисунков 57 и 58. Средний столбец специальностей обозначен «МОПК».</t>
        </is>
      </c>
    </row>
    <row r="16" ht="40" customHeight="1">
      <c r="A16" s="6" t="inlineStr">
        <is>
          <t>Правило дат</t>
        </is>
      </c>
      <c r="B16" s="6" t="inlineStr">
        <is>
          <t>Начало и окончание</t>
        </is>
      </c>
      <c r="C16" s="6" t="inlineStr">
        <is>
          <t>Начало первой недели — понедельник недели даты C2. Начало этапа = первый понедельник + сумма предыдущих недель × 7. Окончание = начало + число недель × 7 − 1.</t>
        </is>
      </c>
    </row>
    <row r="17" ht="40" customHeight="1">
      <c r="A17" s="6" t="inlineStr">
        <is>
          <t>Правило времени</t>
        </is>
      </c>
      <c r="B17" s="6" t="inlineStr">
        <is>
          <t>Последовательность задач</t>
        </is>
      </c>
      <c r="C17" s="6" t="inlineStr">
        <is>
          <t>Каждый студент приступает к следующей задаче сразу после сдачи предыдущей. Между студентами строки перемешаны, поэтому вычитать время предыдущей строки нельзя.</t>
        </is>
      </c>
    </row>
    <row r="18" ht="54" customHeight="1">
      <c r="A18" s="6" t="inlineStr">
        <is>
          <t>Редактирование</t>
        </is>
      </c>
      <c r="B18" s="6" t="inlineStr">
        <is>
          <t>Какие значения менять</t>
        </is>
      </c>
      <c r="C18" s="6" t="inlineStr">
        <is>
          <t>На листе «График» — C1 (специальность) и C2 (дата). На листе «Выписки» — C5:E14 (недели). На листе «Протокол» — C1 (начало), C2 (норматив) и A5:C13 (записи, по времени сдачи). Формулы оставлять без изменения.</t>
        </is>
      </c>
    </row>
  </sheetData>
  <mergeCells count="2">
    <mergeCell ref="A1:C1"/>
    <mergeCell ref="A2:C2"/>
  </mergeCells>
  <pageMargins left="0.3" right="0.3" top="0.4" bottom="0.4" header="0.5" footer="0.5"/>
  <pageSetup orientation="landscape" paperSize="9" fitToHeight="2" fitToWidth="1"/>
  <headerFooter>
    <oddHeader/>
    <oddFooter>&amp;C&amp;9 Страница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2026-10-13T10:09:18Z</dcterms:created>
  <dcterms:modified xmlns:dcterms="http://purl.org/dc/terms/" xmlns:xsi="http://www.w3.org/2001/XMLSchema-instance" xsi:type="dcterms:W3CDTF">2026-10-13T10:09:18Z</dcterms:modified>
</cp:coreProperties>
</file>